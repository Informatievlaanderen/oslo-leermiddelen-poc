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9A1FE6C-856E-4CFC-A2E6-BE13A8FAA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ermidde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3" i="4" a="1"/>
  <c r="A4" i="4" a="1"/>
  <c r="A5" i="4" a="1"/>
  <c r="A5" i="4" l="1"/>
  <c r="A4" i="4"/>
  <c r="A3" i="4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<sst xmlns="http://schemas.openxmlformats.org/spreadsheetml/2006/main" count="45" uniqueCount="31">
  <si>
    <t>CODE</t>
  </si>
  <si>
    <t>type</t>
  </si>
  <si>
    <t>instructietaal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</si>
  <si>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</si>
  <si>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</si>
  <si>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</si>
  <si>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</si>
  <si>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</si>
  <si>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</si>
  <si>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</si>
  <si>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</si>
  <si>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</si>
  <si>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</si>
  <si>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</si>
  <si>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</si>
  <si>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</si>
  <si>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</si>
  <si>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</si>
  <si>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</si>
  <si>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</si>
  <si>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</si>
  <si>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nl</t>
  </si>
  <si>
    <t>S-gr2-DoF</t>
  </si>
  <si>
    <t>S-gr2-DuF</t>
  </si>
  <si>
    <t>Methode</t>
  </si>
  <si>
    <t>Die Keure</t>
  </si>
  <si>
    <t>Janus 3 D</t>
  </si>
  <si>
    <t>Janus 3 D&amp;A</t>
  </si>
  <si>
    <t>Janus 4 D</t>
  </si>
  <si>
    <t>Janus 4 D&amp;A</t>
  </si>
  <si>
    <t>SC_8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</si>
</sst>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0E0E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E2D8D-1858-4260-9449-755DF9C432CA}" name="Table1" displayName="Table1" ref="A1:U5" totalsRowShown="0" headerRowDxfId="22" dataDxfId="0">
  <autoFilter ref="A1:U5" xr:uid="{066E2D8D-1858-4260-9449-755DF9C432CA}"/>
  <tableColumns count="21">
    <tableColumn id="1" xr3:uid="{EE5AE287-BBE7-4EDC-9879-889396EA54B0}" name="CODE" dataDxfId="21">
      <calculatedColumnFormula array="1">LOWER(LEFT(SUBSTITUTE(Table1[[#This Row],[naam]]," ","-"), 24) &amp; "-" &amp; RIGHT(DEC2HEX(ABS(SUMPRODUCT(CODE(MID(Table1[[#This Row],[naam]],ROW(INDIRECT("1:"&amp;LEN(Table1[[#This Row],[naam]]))),1))*(ROW(INDIRECT("1:"&amp;LEN(Table1[[#This Row],[naam]]))))))), 4))</calculatedColumnFormula>
    </tableColumn>
    <tableColumn id="2" xr3:uid="{27AD3527-329E-4436-A20C-8D57E5811B88}" name="beschrijving" dataDxfId="20"/>
    <tableColumn id="3" xr3:uid="{685534C3-F251-4B1A-9934-50C0AD0A2947}" name="instructie" dataDxfId="19"/>
    <tableColumn id="4" xr3:uid="{AEA5F394-85C3-4C52-8B3E-DCED8A6EB745}" name="naam" dataDxfId="18"/>
    <tableColumn id="5" xr3:uid="{DC53031F-BBDF-4EA6-B0DD-8F9950485C6E}" name="vereiste" dataDxfId="17"/>
    <tableColumn id="6" xr3:uid="{8760A467-302E-45F6-92FF-BE55B379434E}" name="benodigdMateriaal" dataDxfId="16"/>
    <tableColumn id="7" xr3:uid="{67E7A6E0-67F1-496B-B8DB-441E8DAC2C68}" name="sleutelwoord" dataDxfId="15"/>
    <tableColumn id="8" xr3:uid="{50896DBB-E1AD-4329-9559-0B4FE2F422D9}" name="onderwerp" dataDxfId="14"/>
    <tableColumn id="9" xr3:uid="{DF466037-E445-4D23-B006-D06BF5EB45F8}" name="toegankelijkheid" dataDxfId="13"/>
    <tableColumn id="10" xr3:uid="{0E1F9F7A-A2F8-49AF-A2FE-FF5059D90229}" name="type" dataDxfId="12"/>
    <tableColumn id="11" xr3:uid="{2D12D7BC-B459-454C-B336-A785D5A2A725}" name="interactieType" dataDxfId="11"/>
    <tableColumn id="12" xr3:uid="{B38D423A-C574-45ED-B7BA-46D5798944C6}" name="instructietaal" dataDxfId="10"/>
    <tableColumn id="13" xr3:uid="{ECA5028B-A00D-4EB2-A30D-8E9590701542}" name="resultaat" dataDxfId="9"/>
    <tableColumn id="14" xr3:uid="{419FA497-E252-440D-A843-38DF4E8BD901}" name="niveau" dataDxfId="8"/>
    <tableColumn id="15" xr3:uid="{57CAC6A4-E015-4965-B56A-CFB760540DE6}" name="kost" dataDxfId="7"/>
    <tableColumn id="16" xr3:uid="{2924354C-3D9D-4634-980A-AE5127D37AB0}" name="formaat" dataDxfId="6"/>
    <tableColumn id="17" xr3:uid="{B0E9C66A-1627-4905-803E-0A2F364BB97E}" name="competentie" dataDxfId="5"/>
    <tableColumn id="18" xr3:uid="{36E406D4-1A0F-4F14-84C3-54DA1F81C7AE}" name="bron" dataDxfId="4"/>
    <tableColumn id="19" xr3:uid="{26FC4A58-7357-4ADA-A6DC-63F02BF1348F}" name="dient" dataDxfId="3"/>
    <tableColumn id="20" xr3:uid="{A9422CE0-02F3-4C9A-8861-799F58D30F7B}" name="isLidVan" dataDxfId="2"/>
    <tableColumn id="21" xr3:uid="{C1EF498E-6C63-4AC8-9E91-0FD939D87DF0}" name="bestaatUit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"/>
  <sheetViews>
    <sheetView tabSelected="1" workbookViewId="0">
      <pane ySplit="1" topLeftCell="A2" activePane="bottomLeft" state="frozen"/>
      <selection pane="bottomLeft" activeCell="G17" sqref="G17"/>
    </sheetView>
  </sheetViews>
  <sheetFormatPr defaultColWidth="8.85546875" defaultRowHeight="15" x14ac:dyDescent="0.25"/>
  <cols>
    <col min="1" max="1" width="16.5703125" style="1" bestFit="1" customWidth="1"/>
    <col min="2" max="2" width="14" style="1" bestFit="1" customWidth="1"/>
    <col min="3" max="4" width="11.7109375" style="1" bestFit="1" customWidth="1"/>
    <col min="5" max="5" width="10.5703125" style="1" bestFit="1" customWidth="1"/>
    <col min="6" max="6" width="20.5703125" style="1" bestFit="1" customWidth="1"/>
    <col min="7" max="7" width="15.140625" style="1" bestFit="1" customWidth="1"/>
    <col min="8" max="8" width="13.140625" style="1" bestFit="1" customWidth="1"/>
    <col min="9" max="9" width="18.42578125" style="1" bestFit="1" customWidth="1"/>
    <col min="10" max="10" width="9.140625" style="1" bestFit="1" customWidth="1"/>
    <col min="11" max="11" width="16.28515625" style="1" bestFit="1" customWidth="1"/>
    <col min="12" max="12" width="15" style="1" bestFit="1" customWidth="1"/>
    <col min="13" max="13" width="11.140625" style="1" bestFit="1" customWidth="1"/>
    <col min="14" max="14" width="9.5703125" style="1" bestFit="1" customWidth="1"/>
    <col min="15" max="15" width="7" style="1" bestFit="1" customWidth="1"/>
    <col min="16" max="16" width="10.28515625" style="1" bestFit="1" customWidth="1"/>
    <col min="17" max="17" width="14.7109375" style="1" bestFit="1" customWidth="1"/>
    <col min="18" max="18" width="9.7109375" style="1" bestFit="1" customWidth="1"/>
    <col min="19" max="19" width="8" bestFit="1" customWidth="1"/>
    <col min="20" max="20" width="10.7109375" style="1" bestFit="1" customWidth="1"/>
    <col min="21" max="21" width="12.5703125" style="1" bestFit="1" customWidth="1"/>
  </cols>
  <sheetData>
    <row r="1" spans="1:21" s="2" customFormat="1" x14ac:dyDescent="0.25">
      <c r="A1" s="3" t="s">
        <v>0</v>
      </c>
      <c r="B1" s="3" t="s">
        <v>3</v>
      </c>
      <c r="C1" s="5" t="s">
        <v>4</v>
      </c>
      <c r="D1" s="3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</v>
      </c>
      <c r="K1" s="5" t="s">
        <v>11</v>
      </c>
      <c r="L1" s="3" t="s">
        <v>2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</row>
    <row r="2" spans="1:21" s="7" customFormat="1" x14ac:dyDescent="0.25">
      <c r="A2" s="4" t="str" cm="1">
        <f t="array" aca="1" ref="A2" ca="1">LOWER(LEFT(SUBSTITUTE(Table1[[#This Row],[naam]]," ","-"), 24) &amp; "-" &amp; RIGHT(DEC2HEX(ABS(SUMPRODUCT(CODE(MID(Table1[[#This Row],[naam]],ROW(INDIRECT("1:"&amp;LEN(Table1[[#This Row],[naam]]))),1))*(ROW(INDIRECT("1:"&amp;LEN(Table1[[#This Row],[naam]]))))))), 4))</f>
        <v>janus-3-d-bf2</v>
      </c>
      <c r="B2" s="4"/>
      <c r="C2" s="4"/>
      <c r="D2" s="4" t="s">
        <v>26</v>
      </c>
      <c r="E2" s="4"/>
      <c r="F2" s="4"/>
      <c r="G2" s="4"/>
      <c r="H2" s="4" t="s">
        <v>30</v>
      </c>
      <c r="I2" s="4"/>
      <c r="J2" s="4" t="s">
        <v>24</v>
      </c>
      <c r="K2" s="4"/>
      <c r="L2" s="4" t="s">
        <v>21</v>
      </c>
      <c r="M2" s="4"/>
      <c r="N2" s="4" t="s">
        <v>22</v>
      </c>
      <c r="O2" s="4"/>
      <c r="P2" s="4"/>
      <c r="Q2" s="4"/>
      <c r="R2" s="4" t="s">
        <v>25</v>
      </c>
      <c r="S2" s="4"/>
      <c r="T2" s="4"/>
      <c r="U2" s="4"/>
    </row>
    <row r="3" spans="1:21" s="7" customFormat="1" x14ac:dyDescent="0.25">
      <c r="A3" s="4" t="str" cm="1">
        <f t="array" aca="1" ref="A3" ca="1">LOWER(LEFT(SUBSTITUTE(Table1[[#This Row],[naam]]," ","-"), 24) &amp; "-" &amp; RIGHT(DEC2HEX(ABS(SUMPRODUCT(CODE(MID(Table1[[#This Row],[naam]],ROW(INDIRECT("1:"&amp;LEN(Table1[[#This Row],[naam]]))),1))*(ROW(INDIRECT("1:"&amp;LEN(Table1[[#This Row],[naam]]))))))), 4))</f>
        <v>janus-3-d&amp;a-1039</v>
      </c>
      <c r="B3" s="4"/>
      <c r="C3" s="4"/>
      <c r="D3" s="4" t="s">
        <v>27</v>
      </c>
      <c r="E3" s="4"/>
      <c r="F3" s="4"/>
      <c r="G3" s="4"/>
      <c r="H3" s="4" t="s">
        <v>30</v>
      </c>
      <c r="I3" s="4"/>
      <c r="J3" s="4" t="s">
        <v>24</v>
      </c>
      <c r="K3" s="4"/>
      <c r="L3" s="4" t="s">
        <v>21</v>
      </c>
      <c r="M3" s="4"/>
      <c r="N3" s="4" t="s">
        <v>23</v>
      </c>
      <c r="O3" s="4"/>
      <c r="P3" s="4"/>
      <c r="Q3" s="4"/>
      <c r="R3" s="4" t="s">
        <v>25</v>
      </c>
      <c r="S3" s="4"/>
      <c r="T3" s="4"/>
      <c r="U3" s="4"/>
    </row>
    <row r="4" spans="1:21" s="7" customFormat="1" x14ac:dyDescent="0.25">
      <c r="A4" s="4" t="str" cm="1">
        <f t="array" aca="1" ref="A4" ca="1">LOWER(LEFT(SUBSTITUTE(Table1[[#This Row],[naam]]," ","-"), 24) &amp; "-" &amp; RIGHT(DEC2HEX(ABS(SUMPRODUCT(CODE(MID(Table1[[#This Row],[naam]],ROW(INDIRECT("1:"&amp;LEN(Table1[[#This Row],[naam]]))),1))*(ROW(INDIRECT("1:"&amp;LEN(Table1[[#This Row],[naam]]))))))), 4))</f>
        <v>janus-4-d-bf9</v>
      </c>
      <c r="B4" s="4"/>
      <c r="C4" s="4"/>
      <c r="D4" s="4" t="s">
        <v>28</v>
      </c>
      <c r="E4" s="4"/>
      <c r="F4" s="4"/>
      <c r="G4" s="4"/>
      <c r="H4" s="4" t="s">
        <v>30</v>
      </c>
      <c r="I4" s="4"/>
      <c r="J4" s="4" t="s">
        <v>24</v>
      </c>
      <c r="K4" s="4"/>
      <c r="L4" s="4" t="s">
        <v>21</v>
      </c>
      <c r="M4" s="4"/>
      <c r="N4" s="4" t="s">
        <v>22</v>
      </c>
      <c r="O4" s="4"/>
      <c r="P4" s="4"/>
      <c r="Q4" s="4"/>
      <c r="R4" s="4" t="s">
        <v>25</v>
      </c>
      <c r="S4" s="4"/>
      <c r="T4" s="4"/>
      <c r="U4" s="4"/>
    </row>
    <row r="5" spans="1:21" s="7" customFormat="1" x14ac:dyDescent="0.25">
      <c r="A5" s="4" t="str" cm="1">
        <f t="array" aca="1" ref="A5" ca="1">LOWER(LEFT(SUBSTITUTE(Table1[[#This Row],[naam]]," ","-"), 24) &amp; "-" &amp; RIGHT(DEC2HEX(ABS(SUMPRODUCT(CODE(MID(Table1[[#This Row],[naam]],ROW(INDIRECT("1:"&amp;LEN(Table1[[#This Row],[naam]]))),1))*(ROW(INDIRECT("1:"&amp;LEN(Table1[[#This Row],[naam]]))))))), 4))</f>
        <v>janus-4-d&amp;a-1040</v>
      </c>
      <c r="B5" s="4"/>
      <c r="C5" s="4"/>
      <c r="D5" s="4" t="s">
        <v>29</v>
      </c>
      <c r="E5" s="4"/>
      <c r="F5" s="4"/>
      <c r="G5" s="4"/>
      <c r="H5" s="4" t="s">
        <v>30</v>
      </c>
      <c r="I5" s="4"/>
      <c r="J5" s="4" t="s">
        <v>24</v>
      </c>
      <c r="K5" s="4"/>
      <c r="L5" s="4" t="s">
        <v>21</v>
      </c>
      <c r="M5" s="4"/>
      <c r="N5" s="4" t="s">
        <v>23</v>
      </c>
      <c r="O5" s="4"/>
      <c r="P5" s="4"/>
      <c r="Q5" s="4"/>
      <c r="R5" s="4" t="s">
        <v>25</v>
      </c>
      <c r="S5" s="4"/>
      <c r="T5" s="4"/>
      <c r="U5" s="4"/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Leermiddel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2025-12-17T08:22:54Z</dcterms:modified>
  <cp:category/>
</cp:coreProperties>
</file>